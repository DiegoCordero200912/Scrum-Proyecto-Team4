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scrum-proyecto-team4\scrum-proyecto\metricas\"/>
    </mc:Choice>
  </mc:AlternateContent>
  <xr:revisionPtr revIDLastSave="0" documentId="13_ncr:1_{1D5F4B0D-6A69-4272-9514-DAB9DE21AA9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ciones" sheetId="1" r:id="rId1"/>
    <sheet name="Backlog" sheetId="2" r:id="rId2"/>
    <sheet name="Métricas" sheetId="3" r:id="rId3"/>
    <sheet name="Burndow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" l="1"/>
  <c r="B8" i="4"/>
  <c r="B7" i="4"/>
  <c r="C7" i="4" s="1"/>
  <c r="D7" i="4" s="1"/>
  <c r="B6" i="4"/>
  <c r="C6" i="4" s="1"/>
  <c r="D6" i="4" s="1"/>
  <c r="C5" i="4"/>
  <c r="B5" i="4"/>
  <c r="C2" i="4"/>
  <c r="E8" i="4" s="1"/>
  <c r="H7" i="3"/>
  <c r="G7" i="3"/>
  <c r="H6" i="3"/>
  <c r="G6" i="3"/>
  <c r="F6" i="3"/>
  <c r="E6" i="3"/>
  <c r="C6" i="3"/>
  <c r="B6" i="3"/>
  <c r="D6" i="3" s="1"/>
  <c r="H5" i="3"/>
  <c r="G5" i="3"/>
  <c r="F5" i="3"/>
  <c r="E5" i="3"/>
  <c r="C5" i="3"/>
  <c r="B5" i="3"/>
  <c r="D5" i="3" s="1"/>
  <c r="H4" i="3"/>
  <c r="G4" i="3"/>
  <c r="F4" i="3"/>
  <c r="E4" i="3"/>
  <c r="C4" i="3"/>
  <c r="B4" i="3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3" i="2"/>
  <c r="J3" i="2"/>
  <c r="B7" i="3" l="1"/>
  <c r="F9" i="3"/>
  <c r="C7" i="3"/>
  <c r="D7" i="3"/>
  <c r="D4" i="3"/>
  <c r="E6" i="4"/>
  <c r="E7" i="3"/>
  <c r="F7" i="3"/>
  <c r="E7" i="4"/>
  <c r="D5" i="4"/>
  <c r="D8" i="4"/>
  <c r="E5" i="4"/>
</calcChain>
</file>

<file path=xl/sharedStrings.xml><?xml version="1.0" encoding="utf-8"?>
<sst xmlns="http://schemas.openxmlformats.org/spreadsheetml/2006/main" count="65" uniqueCount="61">
  <si>
    <t>Plantilla de métricas Scrum</t>
  </si>
  <si>
    <t>Datos del equipo</t>
  </si>
  <si>
    <t>Equipo</t>
  </si>
  <si>
    <t>Product Owner</t>
  </si>
  <si>
    <t>Nombre</t>
  </si>
  <si>
    <t>Scrum Master</t>
  </si>
  <si>
    <t>Scrum Team</t>
  </si>
  <si>
    <t>Fecha del Día 1 (inicio del Sprint 1)</t>
  </si>
  <si>
    <t>Cómo llenarla (3 días = 3 sprints de 1 día)</t>
  </si>
  <si>
    <t>1. Sprint Planning (Día 1): el Product Owner llena la hoja Backlog: ID, Tarea, Puntos y fecha/hora de solicitud.</t>
  </si>
  <si>
    <t>2. En 'Sprint' pon 1, 2 o 3 según el sprint en que se hará la tarea.</t>
  </si>
  <si>
    <t>3. Al empezar una tarea: pon Estado 'En proceso' y su fecha/hora de inicio.</t>
  </si>
  <si>
    <t>4. Al terminarla: Estado 'Terminada' y fecha/hora de fin. Formato: 07/10/2026 15:30</t>
  </si>
  <si>
    <t>5. Daily Scrum: el Scrum Master revisa que el Backlog esté actualizado.</t>
  </si>
  <si>
    <t>6. Sprint Review / Retrospective: miren las hojas Métricas y Burndown y anoten mejoras.</t>
  </si>
  <si>
    <t>Qué mide cada métrica</t>
  </si>
  <si>
    <t>Velocidad del equipo</t>
  </si>
  <si>
    <t>Puntos de las tareas terminadas en cada sprint.</t>
  </si>
  <si>
    <t>Cumplimiento del sprint</t>
  </si>
  <si>
    <t>Tareas terminadas ÷ tareas planeadas del sprint.</t>
  </si>
  <si>
    <t>Burndown chart</t>
  </si>
  <si>
    <t>Puntos pendientes día a día vs. la línea ideal.</t>
  </si>
  <si>
    <t>Lead time</t>
  </si>
  <si>
    <t>Horas desde que se solicita la tarea hasta que se entrega.</t>
  </si>
  <si>
    <t>Cycle time</t>
  </si>
  <si>
    <t>Horas desde que se empieza la tarea hasta que se termina.</t>
  </si>
  <si>
    <t>Product Backlog / Sprint Backlog</t>
  </si>
  <si>
    <t>EJEMPLO</t>
  </si>
  <si>
    <t>Crear pantalla de login</t>
  </si>
  <si>
    <t>Terminada</t>
  </si>
  <si>
    <t>ID</t>
  </si>
  <si>
    <t>Tarea</t>
  </si>
  <si>
    <t>Puntos</t>
  </si>
  <si>
    <t>Sprint (1-3)</t>
  </si>
  <si>
    <t>Estado</t>
  </si>
  <si>
    <t>Responsable</t>
  </si>
  <si>
    <t>Solicitud (fecha y hora)</t>
  </si>
  <si>
    <t>Inicio (fecha y hora)</t>
  </si>
  <si>
    <t>Fin (fecha y hora)</t>
  </si>
  <si>
    <t>Lead time (h)</t>
  </si>
  <si>
    <t>Cycle time (h)</t>
  </si>
  <si>
    <t>Métricas por sprint</t>
  </si>
  <si>
    <t>Sprint</t>
  </si>
  <si>
    <t>Tareas planeadas</t>
  </si>
  <si>
    <t>Tareas terminadas</t>
  </si>
  <si>
    <t>Puntos planeados</t>
  </si>
  <si>
    <t>Velocidad (puntos terminados)</t>
  </si>
  <si>
    <t>Lead time promedio (h)</t>
  </si>
  <si>
    <t>Cycle time promedio (h)</t>
  </si>
  <si>
    <t>Total</t>
  </si>
  <si>
    <t>Velocidad promedio por sprint (puntos)</t>
  </si>
  <si>
    <t>Nota: el lead time y el cycle time solo se promedian con tareas en estado 'Terminada'.</t>
  </si>
  <si>
    <t>Burndown chart (puntos pendientes por día)</t>
  </si>
  <si>
    <t>Total de puntos del backlog:</t>
  </si>
  <si>
    <t>Día</t>
  </si>
  <si>
    <t>Fin del día</t>
  </si>
  <si>
    <t>Puntos terminados (acum.)</t>
  </si>
  <si>
    <t>Pendiente real</t>
  </si>
  <si>
    <t>Pendiente ideal</t>
  </si>
  <si>
    <t>Día 0 = inicio del proyecto. 'Fin del día 1' cuenta lo terminado antes de que acabe el día 1.</t>
  </si>
  <si>
    <t>Equipo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</si>
</sst>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7EEF8"/>
      </patternFill>
    </fill>
    <fill>
      <patternFill patternType="solid">
        <fgColor rgb="FF1F3864"/>
        <bgColor rgb="FF333333"/>
      </patternFill>
    </fill>
    <fill>
      <patternFill patternType="solid">
        <fgColor rgb="FFE7EEF8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14" fontId="4" fillId="2" borderId="1" xfId="0" applyNumberFormat="1" applyFont="1" applyFill="1" applyBorder="1"/>
    <xf numFmtId="0" fontId="5" fillId="0" borderId="0" xfId="0" applyFont="1"/>
    <xf numFmtId="0" fontId="6" fillId="3" borderId="1" xfId="0" applyFont="1" applyFill="1" applyBorder="1"/>
    <xf numFmtId="22" fontId="6" fillId="3" borderId="1" xfId="0" applyNumberFormat="1" applyFont="1" applyFill="1" applyBorder="1"/>
    <xf numFmtId="164" fontId="6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22" fontId="4" fillId="2" borderId="1" xfId="0" applyNumberFormat="1" applyFont="1" applyFill="1" applyBorder="1"/>
    <xf numFmtId="164" fontId="4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0" borderId="0" xfId="0" applyNumberFormat="1" applyFont="1"/>
    <xf numFmtId="14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Burndown: real vs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Burndown!$D$4</c:f>
              <c:strCache>
                <c:ptCount val="1"/>
                <c:pt idx="0">
                  <c:v>Pendiente real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Burndown!$D$5:$D$8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ED-42C0-816D-3BAC5E593977}"/>
            </c:ext>
          </c:extLst>
        </c:ser>
        <c:ser>
          <c:idx val="1"/>
          <c:order val="1"/>
          <c:tx>
            <c:strRef>
              <c:f>Burndown!$E$4</c:f>
              <c:strCache>
                <c:ptCount val="1"/>
                <c:pt idx="0">
                  <c:v>Pendiente ideal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Burndown!$E$5:$E$8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ED-42C0-816D-3BAC5E593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801563"/>
        <c:axId val="57137798"/>
      </c:lineChart>
      <c:catAx>
        <c:axId val="88801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37798"/>
        <c:crosses val="autoZero"/>
        <c:auto val="1"/>
        <c:lblAlgn val="ctr"/>
        <c:lblOffset val="100"/>
        <c:noMultiLvlLbl val="0"/>
      </c:catAx>
      <c:valAx>
        <c:axId val="571377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01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6</xdr:col>
      <xdr:colOff>73080</xdr:colOff>
      <xdr:row>26</xdr:row>
      <xdr:rowOff>172440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B5" sqref="B5"/>
    </sheetView>
  </sheetViews>
  <sheetFormatPr baseColWidth="10" defaultColWidth="8.7109375" defaultRowHeight="15" x14ac:dyDescent="0.25"/>
  <cols>
    <col min="1" max="1" width="38" customWidth="1"/>
    <col min="2" max="2" width="30" customWidth="1"/>
    <col min="3" max="3" width="60" customWidth="1"/>
  </cols>
  <sheetData>
    <row r="1" spans="1:3" ht="18" x14ac:dyDescent="0.25">
      <c r="A1" s="1" t="s">
        <v>0</v>
      </c>
    </row>
    <row r="2" spans="1:3" x14ac:dyDescent="0.25">
      <c r="A2" s="2"/>
    </row>
    <row r="4" spans="1:3" x14ac:dyDescent="0.25">
      <c r="A4" s="3" t="s">
        <v>1</v>
      </c>
    </row>
    <row r="5" spans="1:3" x14ac:dyDescent="0.25">
      <c r="A5" s="4" t="s">
        <v>2</v>
      </c>
      <c r="B5" s="5" t="s">
        <v>60</v>
      </c>
    </row>
    <row r="6" spans="1:3" x14ac:dyDescent="0.25">
      <c r="A6" s="4" t="s">
        <v>3</v>
      </c>
      <c r="B6" s="5" t="s">
        <v>4</v>
      </c>
    </row>
    <row r="7" spans="1:3" x14ac:dyDescent="0.25">
      <c r="A7" s="4" t="s">
        <v>5</v>
      </c>
      <c r="B7" s="5" t="s">
        <v>4</v>
      </c>
    </row>
    <row r="8" spans="1:3" x14ac:dyDescent="0.25">
      <c r="A8" s="4" t="s">
        <v>6</v>
      </c>
      <c r="B8" s="5" t="s">
        <v>4</v>
      </c>
    </row>
    <row r="10" spans="1:3" x14ac:dyDescent="0.25">
      <c r="A10" s="4" t="s">
        <v>7</v>
      </c>
      <c r="B10" s="6">
        <v>46302</v>
      </c>
      <c r="C10" s="7"/>
    </row>
    <row r="12" spans="1:3" x14ac:dyDescent="0.25">
      <c r="A12" s="3" t="s">
        <v>8</v>
      </c>
    </row>
    <row r="13" spans="1:3" x14ac:dyDescent="0.25">
      <c r="A13" s="4" t="s">
        <v>9</v>
      </c>
    </row>
    <row r="14" spans="1:3" x14ac:dyDescent="0.25">
      <c r="A14" s="4" t="s">
        <v>10</v>
      </c>
    </row>
    <row r="15" spans="1:3" x14ac:dyDescent="0.25">
      <c r="A15" s="4" t="s">
        <v>11</v>
      </c>
    </row>
    <row r="16" spans="1:3" x14ac:dyDescent="0.25">
      <c r="A16" s="4" t="s">
        <v>12</v>
      </c>
    </row>
    <row r="17" spans="1:2" x14ac:dyDescent="0.25">
      <c r="A17" s="4" t="s">
        <v>13</v>
      </c>
    </row>
    <row r="18" spans="1:2" x14ac:dyDescent="0.25">
      <c r="A18" s="4" t="s">
        <v>14</v>
      </c>
    </row>
    <row r="20" spans="1:2" x14ac:dyDescent="0.25">
      <c r="A20" s="3" t="s">
        <v>15</v>
      </c>
    </row>
    <row r="21" spans="1:2" x14ac:dyDescent="0.25">
      <c r="A21" s="3" t="s">
        <v>16</v>
      </c>
      <c r="B21" s="4" t="s">
        <v>17</v>
      </c>
    </row>
    <row r="22" spans="1:2" x14ac:dyDescent="0.25">
      <c r="A22" s="3" t="s">
        <v>18</v>
      </c>
      <c r="B22" s="4" t="s">
        <v>19</v>
      </c>
    </row>
    <row r="23" spans="1:2" x14ac:dyDescent="0.25">
      <c r="A23" s="3" t="s">
        <v>20</v>
      </c>
      <c r="B23" s="4" t="s">
        <v>21</v>
      </c>
    </row>
    <row r="24" spans="1:2" x14ac:dyDescent="0.25">
      <c r="A24" s="3" t="s">
        <v>22</v>
      </c>
      <c r="B24" s="4" t="s">
        <v>23</v>
      </c>
    </row>
    <row r="25" spans="1:2" x14ac:dyDescent="0.25">
      <c r="A25" s="3" t="s">
        <v>24</v>
      </c>
      <c r="B25" s="4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5" sqref="J5"/>
    </sheetView>
  </sheetViews>
  <sheetFormatPr baseColWidth="10" defaultColWidth="8.7109375" defaultRowHeight="15" x14ac:dyDescent="0.25"/>
  <cols>
    <col min="1" max="1" width="9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9" width="20" customWidth="1"/>
    <col min="10" max="11" width="13" customWidth="1"/>
  </cols>
  <sheetData>
    <row r="1" spans="1:11" ht="18" x14ac:dyDescent="0.25">
      <c r="A1" s="1" t="s">
        <v>26</v>
      </c>
    </row>
    <row r="3" spans="1:11" x14ac:dyDescent="0.25">
      <c r="A3" s="8" t="s">
        <v>27</v>
      </c>
      <c r="B3" s="8" t="s">
        <v>28</v>
      </c>
      <c r="C3" s="8">
        <v>3</v>
      </c>
      <c r="D3" s="8">
        <v>1</v>
      </c>
      <c r="E3" s="8" t="s">
        <v>29</v>
      </c>
      <c r="F3" s="8" t="s">
        <v>4</v>
      </c>
      <c r="G3" s="9">
        <v>46302.333333333299</v>
      </c>
      <c r="H3" s="9">
        <v>46302.416666666701</v>
      </c>
      <c r="I3" s="9">
        <v>46302.625</v>
      </c>
      <c r="J3" s="10">
        <f>IF(AND(G3&lt;&gt;"",I3&lt;&gt;""),(I3-G3)*24,"")</f>
        <v>7.0000000008149073</v>
      </c>
      <c r="K3" s="10">
        <f>IF(AND(H3&lt;&gt;"",I3&lt;&gt;""),(I3-H3)*24,"")</f>
        <v>4.9999999991850927</v>
      </c>
    </row>
    <row r="4" spans="1:11" ht="31.5" customHeight="1" x14ac:dyDescent="0.25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  <c r="K4" s="11" t="s">
        <v>40</v>
      </c>
    </row>
    <row r="5" spans="1:11" x14ac:dyDescent="0.25">
      <c r="A5" s="5"/>
      <c r="B5" s="5"/>
      <c r="C5" s="5"/>
      <c r="D5" s="5"/>
      <c r="E5" s="5"/>
      <c r="F5" s="5"/>
      <c r="G5" s="12"/>
      <c r="H5" s="12"/>
      <c r="I5" s="12"/>
      <c r="J5" s="13" t="str">
        <f t="shared" ref="J5:J34" si="0">IF(AND(G5&lt;&gt;"",I5&lt;&gt;""),(I5-G5)*24,"")</f>
        <v/>
      </c>
      <c r="K5" s="13" t="str">
        <f t="shared" ref="K5:K34" si="1">IF(AND(H5&lt;&gt;"",I5&lt;&gt;""),(I5-H5)*24,"")</f>
        <v/>
      </c>
    </row>
    <row r="6" spans="1:11" x14ac:dyDescent="0.25">
      <c r="A6" s="5"/>
      <c r="B6" s="5"/>
      <c r="C6" s="5"/>
      <c r="D6" s="5"/>
      <c r="E6" s="5"/>
      <c r="F6" s="5"/>
      <c r="G6" s="12"/>
      <c r="H6" s="12"/>
      <c r="I6" s="12"/>
      <c r="J6" s="13" t="str">
        <f t="shared" si="0"/>
        <v/>
      </c>
      <c r="K6" s="13" t="str">
        <f t="shared" si="1"/>
        <v/>
      </c>
    </row>
    <row r="7" spans="1:11" x14ac:dyDescent="0.25">
      <c r="A7" s="5"/>
      <c r="B7" s="5"/>
      <c r="C7" s="5"/>
      <c r="D7" s="5"/>
      <c r="E7" s="5"/>
      <c r="F7" s="5"/>
      <c r="G7" s="12"/>
      <c r="H7" s="12"/>
      <c r="I7" s="12"/>
      <c r="J7" s="13" t="str">
        <f t="shared" si="0"/>
        <v/>
      </c>
      <c r="K7" s="13" t="str">
        <f t="shared" si="1"/>
        <v/>
      </c>
    </row>
    <row r="8" spans="1:11" x14ac:dyDescent="0.25">
      <c r="A8" s="5"/>
      <c r="B8" s="5"/>
      <c r="C8" s="5"/>
      <c r="D8" s="5"/>
      <c r="E8" s="5"/>
      <c r="F8" s="5"/>
      <c r="G8" s="12"/>
      <c r="H8" s="12"/>
      <c r="I8" s="12"/>
      <c r="J8" s="13" t="str">
        <f t="shared" si="0"/>
        <v/>
      </c>
      <c r="K8" s="13" t="str">
        <f t="shared" si="1"/>
        <v/>
      </c>
    </row>
    <row r="9" spans="1:11" x14ac:dyDescent="0.25">
      <c r="A9" s="5"/>
      <c r="B9" s="5"/>
      <c r="C9" s="5"/>
      <c r="D9" s="5"/>
      <c r="E9" s="5"/>
      <c r="F9" s="5"/>
      <c r="G9" s="12"/>
      <c r="H9" s="12"/>
      <c r="I9" s="12"/>
      <c r="J9" s="13" t="str">
        <f t="shared" si="0"/>
        <v/>
      </c>
      <c r="K9" s="13" t="str">
        <f t="shared" si="1"/>
        <v/>
      </c>
    </row>
    <row r="10" spans="1:11" x14ac:dyDescent="0.25">
      <c r="A10" s="5"/>
      <c r="B10" s="5"/>
      <c r="C10" s="5"/>
      <c r="D10" s="5"/>
      <c r="E10" s="5"/>
      <c r="F10" s="5"/>
      <c r="G10" s="12"/>
      <c r="H10" s="12"/>
      <c r="I10" s="12"/>
      <c r="J10" s="13" t="str">
        <f t="shared" si="0"/>
        <v/>
      </c>
      <c r="K10" s="13" t="str">
        <f t="shared" si="1"/>
        <v/>
      </c>
    </row>
    <row r="11" spans="1:11" x14ac:dyDescent="0.25">
      <c r="A11" s="5"/>
      <c r="B11" s="5"/>
      <c r="C11" s="5"/>
      <c r="D11" s="5"/>
      <c r="E11" s="5"/>
      <c r="F11" s="5"/>
      <c r="G11" s="12"/>
      <c r="H11" s="12"/>
      <c r="I11" s="12"/>
      <c r="J11" s="13" t="str">
        <f t="shared" si="0"/>
        <v/>
      </c>
      <c r="K11" s="13" t="str">
        <f t="shared" si="1"/>
        <v/>
      </c>
    </row>
    <row r="12" spans="1:11" x14ac:dyDescent="0.25">
      <c r="A12" s="5"/>
      <c r="B12" s="5"/>
      <c r="C12" s="5"/>
      <c r="D12" s="5"/>
      <c r="E12" s="5"/>
      <c r="F12" s="5"/>
      <c r="G12" s="12"/>
      <c r="H12" s="12"/>
      <c r="I12" s="12"/>
      <c r="J12" s="13" t="str">
        <f t="shared" si="0"/>
        <v/>
      </c>
      <c r="K12" s="13" t="str">
        <f t="shared" si="1"/>
        <v/>
      </c>
    </row>
    <row r="13" spans="1:11" x14ac:dyDescent="0.25">
      <c r="A13" s="5"/>
      <c r="B13" s="5"/>
      <c r="C13" s="5"/>
      <c r="D13" s="5"/>
      <c r="E13" s="5"/>
      <c r="F13" s="5"/>
      <c r="G13" s="12"/>
      <c r="H13" s="12"/>
      <c r="I13" s="12"/>
      <c r="J13" s="13" t="str">
        <f t="shared" si="0"/>
        <v/>
      </c>
      <c r="K13" s="13" t="str">
        <f t="shared" si="1"/>
        <v/>
      </c>
    </row>
    <row r="14" spans="1:11" x14ac:dyDescent="0.25">
      <c r="A14" s="5"/>
      <c r="B14" s="5"/>
      <c r="C14" s="5"/>
      <c r="D14" s="5"/>
      <c r="E14" s="5"/>
      <c r="F14" s="5"/>
      <c r="G14" s="12"/>
      <c r="H14" s="12"/>
      <c r="I14" s="12"/>
      <c r="J14" s="13" t="str">
        <f t="shared" si="0"/>
        <v/>
      </c>
      <c r="K14" s="13" t="str">
        <f t="shared" si="1"/>
        <v/>
      </c>
    </row>
    <row r="15" spans="1:11" x14ac:dyDescent="0.25">
      <c r="A15" s="5"/>
      <c r="B15" s="5"/>
      <c r="C15" s="5"/>
      <c r="D15" s="5"/>
      <c r="E15" s="5"/>
      <c r="F15" s="5"/>
      <c r="G15" s="12"/>
      <c r="H15" s="12"/>
      <c r="I15" s="12"/>
      <c r="J15" s="13" t="str">
        <f t="shared" si="0"/>
        <v/>
      </c>
      <c r="K15" s="13" t="str">
        <f t="shared" si="1"/>
        <v/>
      </c>
    </row>
    <row r="16" spans="1:11" x14ac:dyDescent="0.25">
      <c r="A16" s="5"/>
      <c r="B16" s="5"/>
      <c r="C16" s="5"/>
      <c r="D16" s="5"/>
      <c r="E16" s="5"/>
      <c r="F16" s="5"/>
      <c r="G16" s="12"/>
      <c r="H16" s="12"/>
      <c r="I16" s="12"/>
      <c r="J16" s="13" t="str">
        <f t="shared" si="0"/>
        <v/>
      </c>
      <c r="K16" s="13" t="str">
        <f t="shared" si="1"/>
        <v/>
      </c>
    </row>
    <row r="17" spans="1:11" x14ac:dyDescent="0.25">
      <c r="A17" s="5"/>
      <c r="B17" s="5"/>
      <c r="C17" s="5"/>
      <c r="D17" s="5"/>
      <c r="E17" s="5"/>
      <c r="F17" s="5"/>
      <c r="G17" s="12"/>
      <c r="H17" s="12"/>
      <c r="I17" s="12"/>
      <c r="J17" s="13" t="str">
        <f t="shared" si="0"/>
        <v/>
      </c>
      <c r="K17" s="13" t="str">
        <f t="shared" si="1"/>
        <v/>
      </c>
    </row>
    <row r="18" spans="1:11" x14ac:dyDescent="0.25">
      <c r="A18" s="5"/>
      <c r="B18" s="5"/>
      <c r="C18" s="5"/>
      <c r="D18" s="5"/>
      <c r="E18" s="5"/>
      <c r="F18" s="5"/>
      <c r="G18" s="12"/>
      <c r="H18" s="12"/>
      <c r="I18" s="12"/>
      <c r="J18" s="13" t="str">
        <f t="shared" si="0"/>
        <v/>
      </c>
      <c r="K18" s="13" t="str">
        <f t="shared" si="1"/>
        <v/>
      </c>
    </row>
    <row r="19" spans="1:11" x14ac:dyDescent="0.25">
      <c r="A19" s="5"/>
      <c r="B19" s="5"/>
      <c r="C19" s="5"/>
      <c r="D19" s="5"/>
      <c r="E19" s="5"/>
      <c r="F19" s="5"/>
      <c r="G19" s="12"/>
      <c r="H19" s="12"/>
      <c r="I19" s="12"/>
      <c r="J19" s="13" t="str">
        <f t="shared" si="0"/>
        <v/>
      </c>
      <c r="K19" s="13" t="str">
        <f t="shared" si="1"/>
        <v/>
      </c>
    </row>
    <row r="20" spans="1:11" x14ac:dyDescent="0.25">
      <c r="A20" s="5"/>
      <c r="B20" s="5"/>
      <c r="C20" s="5"/>
      <c r="D20" s="5"/>
      <c r="E20" s="5"/>
      <c r="F20" s="5"/>
      <c r="G20" s="12"/>
      <c r="H20" s="12"/>
      <c r="I20" s="12"/>
      <c r="J20" s="13" t="str">
        <f t="shared" si="0"/>
        <v/>
      </c>
      <c r="K20" s="13" t="str">
        <f t="shared" si="1"/>
        <v/>
      </c>
    </row>
    <row r="21" spans="1:11" x14ac:dyDescent="0.25">
      <c r="A21" s="5"/>
      <c r="B21" s="5"/>
      <c r="C21" s="5"/>
      <c r="D21" s="5"/>
      <c r="E21" s="5"/>
      <c r="F21" s="5"/>
      <c r="G21" s="12"/>
      <c r="H21" s="12"/>
      <c r="I21" s="12"/>
      <c r="J21" s="13" t="str">
        <f t="shared" si="0"/>
        <v/>
      </c>
      <c r="K21" s="13" t="str">
        <f t="shared" si="1"/>
        <v/>
      </c>
    </row>
    <row r="22" spans="1:11" x14ac:dyDescent="0.25">
      <c r="A22" s="5"/>
      <c r="B22" s="5"/>
      <c r="C22" s="5"/>
      <c r="D22" s="5"/>
      <c r="E22" s="5"/>
      <c r="F22" s="5"/>
      <c r="G22" s="12"/>
      <c r="H22" s="12"/>
      <c r="I22" s="12"/>
      <c r="J22" s="13" t="str">
        <f t="shared" si="0"/>
        <v/>
      </c>
      <c r="K22" s="13" t="str">
        <f t="shared" si="1"/>
        <v/>
      </c>
    </row>
    <row r="23" spans="1:11" x14ac:dyDescent="0.25">
      <c r="A23" s="5"/>
      <c r="B23" s="5"/>
      <c r="C23" s="5"/>
      <c r="D23" s="5"/>
      <c r="E23" s="5"/>
      <c r="F23" s="5"/>
      <c r="G23" s="12"/>
      <c r="H23" s="12"/>
      <c r="I23" s="12"/>
      <c r="J23" s="13" t="str">
        <f t="shared" si="0"/>
        <v/>
      </c>
      <c r="K23" s="13" t="str">
        <f t="shared" si="1"/>
        <v/>
      </c>
    </row>
    <row r="24" spans="1:11" x14ac:dyDescent="0.25">
      <c r="A24" s="5"/>
      <c r="B24" s="5"/>
      <c r="C24" s="5"/>
      <c r="D24" s="5"/>
      <c r="E24" s="5"/>
      <c r="F24" s="5"/>
      <c r="G24" s="12"/>
      <c r="H24" s="12"/>
      <c r="I24" s="12"/>
      <c r="J24" s="13" t="str">
        <f t="shared" si="0"/>
        <v/>
      </c>
      <c r="K24" s="13" t="str">
        <f t="shared" si="1"/>
        <v/>
      </c>
    </row>
    <row r="25" spans="1:11" x14ac:dyDescent="0.25">
      <c r="A25" s="5"/>
      <c r="B25" s="5"/>
      <c r="C25" s="5"/>
      <c r="D25" s="5"/>
      <c r="E25" s="5"/>
      <c r="F25" s="5"/>
      <c r="G25" s="12"/>
      <c r="H25" s="12"/>
      <c r="I25" s="12"/>
      <c r="J25" s="13" t="str">
        <f t="shared" si="0"/>
        <v/>
      </c>
      <c r="K25" s="13" t="str">
        <f t="shared" si="1"/>
        <v/>
      </c>
    </row>
    <row r="26" spans="1:11" x14ac:dyDescent="0.25">
      <c r="A26" s="5"/>
      <c r="B26" s="5"/>
      <c r="C26" s="5"/>
      <c r="D26" s="5"/>
      <c r="E26" s="5"/>
      <c r="F26" s="5"/>
      <c r="G26" s="12"/>
      <c r="H26" s="12"/>
      <c r="I26" s="12"/>
      <c r="J26" s="13" t="str">
        <f t="shared" si="0"/>
        <v/>
      </c>
      <c r="K26" s="13" t="str">
        <f t="shared" si="1"/>
        <v/>
      </c>
    </row>
    <row r="27" spans="1:11" x14ac:dyDescent="0.25">
      <c r="A27" s="5"/>
      <c r="B27" s="5"/>
      <c r="C27" s="5"/>
      <c r="D27" s="5"/>
      <c r="E27" s="5"/>
      <c r="F27" s="5"/>
      <c r="G27" s="12"/>
      <c r="H27" s="12"/>
      <c r="I27" s="12"/>
      <c r="J27" s="13" t="str">
        <f t="shared" si="0"/>
        <v/>
      </c>
      <c r="K27" s="13" t="str">
        <f t="shared" si="1"/>
        <v/>
      </c>
    </row>
    <row r="28" spans="1:11" x14ac:dyDescent="0.25">
      <c r="A28" s="5"/>
      <c r="B28" s="5"/>
      <c r="C28" s="5"/>
      <c r="D28" s="5"/>
      <c r="E28" s="5"/>
      <c r="F28" s="5"/>
      <c r="G28" s="12"/>
      <c r="H28" s="12"/>
      <c r="I28" s="12"/>
      <c r="J28" s="13" t="str">
        <f t="shared" si="0"/>
        <v/>
      </c>
      <c r="K28" s="13" t="str">
        <f t="shared" si="1"/>
        <v/>
      </c>
    </row>
    <row r="29" spans="1:11" x14ac:dyDescent="0.25">
      <c r="A29" s="5"/>
      <c r="B29" s="5"/>
      <c r="C29" s="5"/>
      <c r="D29" s="5"/>
      <c r="E29" s="5"/>
      <c r="F29" s="5"/>
      <c r="G29" s="12"/>
      <c r="H29" s="12"/>
      <c r="I29" s="12"/>
      <c r="J29" s="13" t="str">
        <f t="shared" si="0"/>
        <v/>
      </c>
      <c r="K29" s="13" t="str">
        <f t="shared" si="1"/>
        <v/>
      </c>
    </row>
    <row r="30" spans="1:11" x14ac:dyDescent="0.25">
      <c r="A30" s="5"/>
      <c r="B30" s="5"/>
      <c r="C30" s="5"/>
      <c r="D30" s="5"/>
      <c r="E30" s="5"/>
      <c r="F30" s="5"/>
      <c r="G30" s="12"/>
      <c r="H30" s="12"/>
      <c r="I30" s="12"/>
      <c r="J30" s="13" t="str">
        <f t="shared" si="0"/>
        <v/>
      </c>
      <c r="K30" s="13" t="str">
        <f t="shared" si="1"/>
        <v/>
      </c>
    </row>
    <row r="31" spans="1:11" x14ac:dyDescent="0.25">
      <c r="A31" s="5"/>
      <c r="B31" s="5"/>
      <c r="C31" s="5"/>
      <c r="D31" s="5"/>
      <c r="E31" s="5"/>
      <c r="F31" s="5"/>
      <c r="G31" s="12"/>
      <c r="H31" s="12"/>
      <c r="I31" s="12"/>
      <c r="J31" s="13" t="str">
        <f t="shared" si="0"/>
        <v/>
      </c>
      <c r="K31" s="13" t="str">
        <f t="shared" si="1"/>
        <v/>
      </c>
    </row>
    <row r="32" spans="1:11" x14ac:dyDescent="0.25">
      <c r="A32" s="5"/>
      <c r="B32" s="5"/>
      <c r="C32" s="5"/>
      <c r="D32" s="5"/>
      <c r="E32" s="5"/>
      <c r="F32" s="5"/>
      <c r="G32" s="12"/>
      <c r="H32" s="12"/>
      <c r="I32" s="12"/>
      <c r="J32" s="13" t="str">
        <f t="shared" si="0"/>
        <v/>
      </c>
      <c r="K32" s="13" t="str">
        <f t="shared" si="1"/>
        <v/>
      </c>
    </row>
    <row r="33" spans="1:11" x14ac:dyDescent="0.25">
      <c r="A33" s="5"/>
      <c r="B33" s="5"/>
      <c r="C33" s="5"/>
      <c r="D33" s="5"/>
      <c r="E33" s="5"/>
      <c r="F33" s="5"/>
      <c r="G33" s="12"/>
      <c r="H33" s="12"/>
      <c r="I33" s="12"/>
      <c r="J33" s="13" t="str">
        <f t="shared" si="0"/>
        <v/>
      </c>
      <c r="K33" s="13" t="str">
        <f t="shared" si="1"/>
        <v/>
      </c>
    </row>
    <row r="34" spans="1:11" x14ac:dyDescent="0.25">
      <c r="A34" s="5"/>
      <c r="B34" s="5"/>
      <c r="C34" s="5"/>
      <c r="D34" s="5"/>
      <c r="E34" s="5"/>
      <c r="F34" s="5"/>
      <c r="G34" s="12"/>
      <c r="H34" s="12"/>
      <c r="I34" s="12"/>
      <c r="J34" s="13" t="str">
        <f t="shared" si="0"/>
        <v/>
      </c>
      <c r="K34" s="13" t="str">
        <f t="shared" si="1"/>
        <v/>
      </c>
    </row>
  </sheetData>
  <dataValidations count="2">
    <dataValidation type="list" allowBlank="1" sqref="D5:D34" xr:uid="{00000000-0002-0000-0100-000000000000}">
      <formula1>"1,2,3"</formula1>
      <formula2>0</formula2>
    </dataValidation>
    <dataValidation type="list" allowBlank="1" sqref="E5:E34" xr:uid="{00000000-0002-0000-0100-000001000000}">
      <formula1>"Pendiente,En proceso,Terminada"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selection activeCell="B4" sqref="B4"/>
    </sheetView>
  </sheetViews>
  <sheetFormatPr baseColWidth="10" defaultColWidth="8.7109375" defaultRowHeight="15" x14ac:dyDescent="0.25"/>
  <cols>
    <col min="1" max="1" width="10" customWidth="1"/>
    <col min="2" max="3" width="14" customWidth="1"/>
    <col min="4" max="4" width="16" customWidth="1"/>
    <col min="5" max="5" width="14" customWidth="1"/>
    <col min="6" max="6" width="18" customWidth="1"/>
    <col min="7" max="8" width="16" customWidth="1"/>
  </cols>
  <sheetData>
    <row r="1" spans="1:8" ht="18" x14ac:dyDescent="0.25">
      <c r="A1" s="1" t="s">
        <v>41</v>
      </c>
    </row>
    <row r="3" spans="1:8" ht="45" customHeight="1" x14ac:dyDescent="0.25">
      <c r="A3" s="11" t="s">
        <v>42</v>
      </c>
      <c r="B3" s="11" t="s">
        <v>43</v>
      </c>
      <c r="C3" s="11" t="s">
        <v>44</v>
      </c>
      <c r="D3" s="11" t="s">
        <v>18</v>
      </c>
      <c r="E3" s="11" t="s">
        <v>45</v>
      </c>
      <c r="F3" s="11" t="s">
        <v>46</v>
      </c>
      <c r="G3" s="11" t="s">
        <v>47</v>
      </c>
      <c r="H3" s="11" t="s">
        <v>48</v>
      </c>
    </row>
    <row r="4" spans="1:8" x14ac:dyDescent="0.25">
      <c r="A4" s="14">
        <v>1</v>
      </c>
      <c r="B4" s="15">
        <f>COUNTIFS(Backlog!$D$5:$D$34,A4)</f>
        <v>0</v>
      </c>
      <c r="C4" s="15">
        <f>COUNTIFS(Backlog!$D$5:$D$34,A4,Backlog!$E$5:$E$34,"Terminada")</f>
        <v>0</v>
      </c>
      <c r="D4" s="16">
        <f>IF(B4=0,0,C4/B4)</f>
        <v>0</v>
      </c>
      <c r="E4" s="15">
        <f>SUMIFS(Backlog!$C$5:$C$34,Backlog!$D$5:$D$34,A4)</f>
        <v>0</v>
      </c>
      <c r="F4" s="15">
        <f>SUMIFS(Backlog!$C$5:$C$34,Backlog!$D$5:$D$34,A4,Backlog!$E$5:$E$34,"Terminada")</f>
        <v>0</v>
      </c>
      <c r="G4" s="17">
        <f>IFERROR(AVERAGEIFS(Backlog!$J$5:$J$34,Backlog!$D$5:$D$34,A4,Backlog!$E$5:$E$34,"Terminada"),0)</f>
        <v>0</v>
      </c>
      <c r="H4" s="17">
        <f>IFERROR(AVERAGEIFS(Backlog!$K$5:$K$34,Backlog!$D$5:$D$34,A4,Backlog!$E$5:$E$34,"Terminada"),0)</f>
        <v>0</v>
      </c>
    </row>
    <row r="5" spans="1:8" x14ac:dyDescent="0.25">
      <c r="A5" s="14">
        <v>2</v>
      </c>
      <c r="B5" s="15">
        <f>COUNTIFS(Backlog!$D$5:$D$34,A5)</f>
        <v>0</v>
      </c>
      <c r="C5" s="15">
        <f>COUNTIFS(Backlog!$D$5:$D$34,A5,Backlog!$E$5:$E$34,"Terminada")</f>
        <v>0</v>
      </c>
      <c r="D5" s="16">
        <f>IF(B5=0,0,C5/B5)</f>
        <v>0</v>
      </c>
      <c r="E5" s="15">
        <f>SUMIFS(Backlog!$C$5:$C$34,Backlog!$D$5:$D$34,A5)</f>
        <v>0</v>
      </c>
      <c r="F5" s="15">
        <f>SUMIFS(Backlog!$C$5:$C$34,Backlog!$D$5:$D$34,A5,Backlog!$E$5:$E$34,"Terminada")</f>
        <v>0</v>
      </c>
      <c r="G5" s="17">
        <f>IFERROR(AVERAGEIFS(Backlog!$J$5:$J$34,Backlog!$D$5:$D$34,A5,Backlog!$E$5:$E$34,"Terminada"),0)</f>
        <v>0</v>
      </c>
      <c r="H5" s="17">
        <f>IFERROR(AVERAGEIFS(Backlog!$K$5:$K$34,Backlog!$D$5:$D$34,A5,Backlog!$E$5:$E$34,"Terminada"),0)</f>
        <v>0</v>
      </c>
    </row>
    <row r="6" spans="1:8" x14ac:dyDescent="0.25">
      <c r="A6" s="14">
        <v>3</v>
      </c>
      <c r="B6" s="15">
        <f>COUNTIFS(Backlog!$D$5:$D$34,A6)</f>
        <v>0</v>
      </c>
      <c r="C6" s="15">
        <f>COUNTIFS(Backlog!$D$5:$D$34,A6,Backlog!$E$5:$E$34,"Terminada")</f>
        <v>0</v>
      </c>
      <c r="D6" s="16">
        <f>IF(B6=0,0,C6/B6)</f>
        <v>0</v>
      </c>
      <c r="E6" s="15">
        <f>SUMIFS(Backlog!$C$5:$C$34,Backlog!$D$5:$D$34,A6)</f>
        <v>0</v>
      </c>
      <c r="F6" s="15">
        <f>SUMIFS(Backlog!$C$5:$C$34,Backlog!$D$5:$D$34,A6,Backlog!$E$5:$E$34,"Terminada")</f>
        <v>0</v>
      </c>
      <c r="G6" s="17">
        <f>IFERROR(AVERAGEIFS(Backlog!$J$5:$J$34,Backlog!$D$5:$D$34,A6,Backlog!$E$5:$E$34,"Terminada"),0)</f>
        <v>0</v>
      </c>
      <c r="H6" s="17">
        <f>IFERROR(AVERAGEIFS(Backlog!$K$5:$K$34,Backlog!$D$5:$D$34,A6,Backlog!$E$5:$E$34,"Terminada"),0)</f>
        <v>0</v>
      </c>
    </row>
    <row r="7" spans="1:8" x14ac:dyDescent="0.25">
      <c r="A7" s="14" t="s">
        <v>49</v>
      </c>
      <c r="B7" s="14">
        <f>SUM(B4:B6)</f>
        <v>0</v>
      </c>
      <c r="C7" s="14">
        <f>SUM(C4:C6)</f>
        <v>0</v>
      </c>
      <c r="D7" s="18">
        <f>IF(B7=0,0,C7/B7)</f>
        <v>0</v>
      </c>
      <c r="E7" s="14">
        <f>SUM(E4:E6)</f>
        <v>0</v>
      </c>
      <c r="F7" s="14">
        <f>SUM(F4:F6)</f>
        <v>0</v>
      </c>
      <c r="G7" s="19">
        <f>IFERROR(AVERAGEIFS(Backlog!$J$5:$J$34,Backlog!$E$5:$E$34,"Terminada"),0)</f>
        <v>0</v>
      </c>
      <c r="H7" s="19">
        <f>IFERROR(AVERAGEIFS(Backlog!$K$5:$K$34,Backlog!$E$5:$E$34,"Terminada"),0)</f>
        <v>0</v>
      </c>
    </row>
    <row r="9" spans="1:8" x14ac:dyDescent="0.25">
      <c r="A9" s="3" t="s">
        <v>50</v>
      </c>
      <c r="F9" s="20">
        <f>AVERAGE(F4:F6)</f>
        <v>0</v>
      </c>
    </row>
    <row r="11" spans="1:8" x14ac:dyDescent="0.25">
      <c r="A11" s="7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workbookViewId="0"/>
  </sheetViews>
  <sheetFormatPr baseColWidth="10" defaultColWidth="8.7109375" defaultRowHeight="15" x14ac:dyDescent="0.25"/>
  <cols>
    <col min="1" max="1" width="8" customWidth="1"/>
    <col min="2" max="2" width="14" customWidth="1"/>
    <col min="3" max="3" width="18" customWidth="1"/>
    <col min="4" max="5" width="16" customWidth="1"/>
  </cols>
  <sheetData>
    <row r="1" spans="1:5" ht="18" x14ac:dyDescent="0.25">
      <c r="A1" s="1" t="s">
        <v>52</v>
      </c>
    </row>
    <row r="2" spans="1:5" x14ac:dyDescent="0.25">
      <c r="A2" s="3" t="s">
        <v>53</v>
      </c>
      <c r="C2" s="3">
        <f>SUM(Backlog!$C$5:$C$34)</f>
        <v>0</v>
      </c>
    </row>
    <row r="4" spans="1:5" ht="39" customHeight="1" x14ac:dyDescent="0.25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</row>
    <row r="5" spans="1:5" x14ac:dyDescent="0.25">
      <c r="A5" s="15">
        <v>0</v>
      </c>
      <c r="B5" s="21">
        <f>Instrucciones!$B$10+A5</f>
        <v>46302</v>
      </c>
      <c r="C5" s="15">
        <f>IF(A5=0,0,SUMIFS(Backlog!$C$5:$C$34,Backlog!$E$5:$E$34,"Terminada",Backlog!$I$5:$I$34,"&lt;"&amp;B5))</f>
        <v>0</v>
      </c>
      <c r="D5" s="15">
        <f>$C$2-C5</f>
        <v>0</v>
      </c>
      <c r="E5" s="17">
        <f>$C$2*(1-A5/MAX($A$5:$A$8))</f>
        <v>0</v>
      </c>
    </row>
    <row r="6" spans="1:5" x14ac:dyDescent="0.25">
      <c r="A6" s="15">
        <v>1</v>
      </c>
      <c r="B6" s="21">
        <f>Instrucciones!$B$10+A6</f>
        <v>46303</v>
      </c>
      <c r="C6" s="15">
        <f>IF(A6=0,0,SUMIFS(Backlog!$C$5:$C$34,Backlog!$E$5:$E$34,"Terminada",Backlog!$I$5:$I$34,"&lt;"&amp;B6))</f>
        <v>0</v>
      </c>
      <c r="D6" s="15">
        <f>$C$2-C6</f>
        <v>0</v>
      </c>
      <c r="E6" s="17">
        <f>$C$2*(1-A6/MAX($A$5:$A$8))</f>
        <v>0</v>
      </c>
    </row>
    <row r="7" spans="1:5" x14ac:dyDescent="0.25">
      <c r="A7" s="15">
        <v>2</v>
      </c>
      <c r="B7" s="21">
        <f>Instrucciones!$B$10+A7</f>
        <v>46304</v>
      </c>
      <c r="C7" s="15">
        <f>IF(A7=0,0,SUMIFS(Backlog!$C$5:$C$34,Backlog!$E$5:$E$34,"Terminada",Backlog!$I$5:$I$34,"&lt;"&amp;B7))</f>
        <v>0</v>
      </c>
      <c r="D7" s="15">
        <f>$C$2-C7</f>
        <v>0</v>
      </c>
      <c r="E7" s="17">
        <f>$C$2*(1-A7/MAX($A$5:$A$8))</f>
        <v>0</v>
      </c>
    </row>
    <row r="8" spans="1:5" x14ac:dyDescent="0.25">
      <c r="A8" s="15">
        <v>3</v>
      </c>
      <c r="B8" s="21">
        <f>Instrucciones!$B$10+A8</f>
        <v>46305</v>
      </c>
      <c r="C8" s="15">
        <f>IF(A8=0,0,SUMIFS(Backlog!$C$5:$C$34,Backlog!$E$5:$E$34,"Terminada",Backlog!$I$5:$I$34,"&lt;"&amp;B8))</f>
        <v>0</v>
      </c>
      <c r="D8" s="15">
        <f>$C$2-C8</f>
        <v>0</v>
      </c>
      <c r="E8" s="17">
        <f>$C$2*(1-A8/MAX($A$5:$A$8))</f>
        <v>0</v>
      </c>
    </row>
    <row r="10" spans="1:5" x14ac:dyDescent="0.25">
      <c r="A10" s="7" t="s">
        <v>59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Backlog</vt:lpstr>
      <vt:lpstr>Métricas</vt:lpstr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Cordero</cp:lastModifiedBy>
  <cp:revision>1</cp:revision>
  <dcterms:created xsi:type="dcterms:W3CDTF">2026-10-07T03:49:35Z</dcterms:created>
  <dcterms:modified xsi:type="dcterms:W3CDTF">2026-10-07T05:12:12Z</dcterms:modified>
  <dc:language>en-US</dc:language>
</cp:coreProperties>
</file>